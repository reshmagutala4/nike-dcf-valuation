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8_{18C87EB4-D4B8-4775-A9B8-E2A47B0705B7}" xr6:coauthVersionLast="47" xr6:coauthVersionMax="47" xr10:uidLastSave="{00000000-0000-0000-0000-000000000000}"/>
  <bookViews>
    <workbookView xWindow="-108" yWindow="-108" windowWidth="23256" windowHeight="12456" xr2:uid="{6D145363-C088-4689-8591-8F0AAAF02196}"/>
  </bookViews>
  <sheets>
    <sheet name="DCF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F14" i="1"/>
  <c r="G22" i="1"/>
  <c r="F20" i="1"/>
  <c r="E20" i="1"/>
  <c r="F15" i="1"/>
  <c r="F16" i="1"/>
  <c r="F17" i="1"/>
  <c r="F18" i="1"/>
  <c r="E15" i="1"/>
  <c r="E16" i="1"/>
  <c r="E17" i="1"/>
  <c r="E18" i="1"/>
  <c r="E14" i="1"/>
  <c r="D15" i="1"/>
  <c r="D16" i="1"/>
  <c r="D17" i="1"/>
  <c r="D18" i="1"/>
  <c r="D14" i="1"/>
  <c r="C15" i="1"/>
  <c r="C16" i="1"/>
  <c r="C17" i="1"/>
  <c r="C18" i="1"/>
  <c r="C14" i="1"/>
  <c r="B16" i="1"/>
  <c r="B17" i="1"/>
  <c r="B18" i="1" s="1"/>
  <c r="B15" i="1"/>
  <c r="B14" i="1"/>
</calcChain>
</file>

<file path=xl/sharedStrings.xml><?xml version="1.0" encoding="utf-8"?>
<sst xmlns="http://schemas.openxmlformats.org/spreadsheetml/2006/main" count="18" uniqueCount="18">
  <si>
    <t>Nike Inc. - Discounted Cash Flow (DCF) Valuation</t>
  </si>
  <si>
    <t>Assumptions</t>
  </si>
  <si>
    <t>Revenue</t>
  </si>
  <si>
    <t xml:space="preserve">Revence Growth </t>
  </si>
  <si>
    <t>Last Revenue</t>
  </si>
  <si>
    <t>Operating Margin</t>
  </si>
  <si>
    <t>Tax Rate</t>
  </si>
  <si>
    <t xml:space="preserve">Discount Rate </t>
  </si>
  <si>
    <t>Terminal</t>
  </si>
  <si>
    <t>Share Outstanding</t>
  </si>
  <si>
    <t>Year</t>
  </si>
  <si>
    <t>EBIT</t>
  </si>
  <si>
    <t>Free Cash Flow</t>
  </si>
  <si>
    <t>Present Value of FCF</t>
  </si>
  <si>
    <t xml:space="preserve">Discount Factor </t>
  </si>
  <si>
    <t>Terminal Value</t>
  </si>
  <si>
    <t>Enterprise Value</t>
  </si>
  <si>
    <t>Fair Value Per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</si>
</sst>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2F84-83D2-47AB-BCDE-792224EBD107}">
  <dimension ref="A1:G24"/>
  <sheetViews>
    <sheetView tabSelected="1" workbookViewId="0">
      <selection activeCell="J16" sqref="J16"/>
    </sheetView>
  </sheetViews>
  <sheetFormatPr defaultRowHeight="14.4" x14ac:dyDescent="0.3"/>
  <cols>
    <col min="1" max="1" width="16" customWidth="1"/>
    <col min="4" max="4" width="13.33203125" bestFit="1" customWidth="1"/>
    <col min="5" max="5" width="14" customWidth="1"/>
    <col min="6" max="6" width="18.109375" customWidth="1"/>
  </cols>
  <sheetData>
    <row r="1" spans="1:6" ht="18" x14ac:dyDescent="0.35">
      <c r="A1" s="6" t="s">
        <v>0</v>
      </c>
      <c r="B1" s="6"/>
      <c r="C1" s="6"/>
      <c r="D1" s="6"/>
      <c r="E1" s="6"/>
      <c r="F1" s="6"/>
    </row>
    <row r="3" spans="1:6" x14ac:dyDescent="0.3">
      <c r="A3" s="2" t="s">
        <v>1</v>
      </c>
    </row>
    <row r="4" spans="1:6" x14ac:dyDescent="0.3">
      <c r="A4" t="s">
        <v>4</v>
      </c>
      <c r="B4">
        <v>51000</v>
      </c>
    </row>
    <row r="5" spans="1:6" x14ac:dyDescent="0.3">
      <c r="A5" t="s">
        <v>3</v>
      </c>
      <c r="B5" s="3">
        <v>0.06</v>
      </c>
    </row>
    <row r="6" spans="1:6" x14ac:dyDescent="0.3">
      <c r="A6" t="s">
        <v>5</v>
      </c>
      <c r="B6" s="3">
        <v>0.14000000000000001</v>
      </c>
    </row>
    <row r="7" spans="1:6" x14ac:dyDescent="0.3">
      <c r="A7" t="s">
        <v>6</v>
      </c>
      <c r="B7" s="3">
        <v>0.21</v>
      </c>
    </row>
    <row r="8" spans="1:6" x14ac:dyDescent="0.3">
      <c r="A8" t="s">
        <v>7</v>
      </c>
      <c r="B8" s="3">
        <v>0.09</v>
      </c>
    </row>
    <row r="9" spans="1:6" x14ac:dyDescent="0.3">
      <c r="A9" t="s">
        <v>8</v>
      </c>
      <c r="B9" s="4">
        <v>2.5000000000000001E-2</v>
      </c>
    </row>
    <row r="10" spans="1:6" x14ac:dyDescent="0.3">
      <c r="A10" t="s">
        <v>9</v>
      </c>
      <c r="B10">
        <v>1500</v>
      </c>
    </row>
    <row r="13" spans="1:6" x14ac:dyDescent="0.3">
      <c r="A13" s="5" t="s">
        <v>10</v>
      </c>
      <c r="B13" s="5" t="s">
        <v>2</v>
      </c>
      <c r="C13" s="5" t="s">
        <v>11</v>
      </c>
      <c r="D13" s="5" t="s">
        <v>12</v>
      </c>
      <c r="E13" s="5" t="s">
        <v>14</v>
      </c>
      <c r="F13" s="5" t="s">
        <v>13</v>
      </c>
    </row>
    <row r="14" spans="1:6" x14ac:dyDescent="0.3">
      <c r="A14" s="1">
        <v>1</v>
      </c>
      <c r="B14">
        <f>$B$4*(1+$B$5)</f>
        <v>54060</v>
      </c>
      <c r="C14">
        <f>B14*$B$6</f>
        <v>7568.4000000000005</v>
      </c>
      <c r="D14">
        <f>C14*(1-$B$7)</f>
        <v>5979.036000000001</v>
      </c>
      <c r="E14">
        <f>1/(1+$B$8)^A14</f>
        <v>0.9174311926605504</v>
      </c>
      <c r="F14">
        <f>D14*E14</f>
        <v>5485.3541284403673</v>
      </c>
    </row>
    <row r="15" spans="1:6" x14ac:dyDescent="0.3">
      <c r="A15" s="1">
        <v>2</v>
      </c>
      <c r="B15">
        <f>B14*(1+$B$5)</f>
        <v>57303.600000000006</v>
      </c>
      <c r="C15">
        <f t="shared" ref="C15:C18" si="0">B15*$B$6</f>
        <v>8022.5040000000017</v>
      </c>
      <c r="D15">
        <f t="shared" ref="D15:D18" si="1">C15*(1-$B$7)</f>
        <v>6337.7781600000017</v>
      </c>
      <c r="E15">
        <f t="shared" ref="E15:E18" si="2">1/(1+$B$8)^A15</f>
        <v>0.84167999326655996</v>
      </c>
      <c r="F15">
        <f t="shared" ref="F15:F18" si="3">D15*E15</f>
        <v>5334.381079033752</v>
      </c>
    </row>
    <row r="16" spans="1:6" x14ac:dyDescent="0.3">
      <c r="A16" s="1">
        <v>3</v>
      </c>
      <c r="B16">
        <f t="shared" ref="B16:B18" si="4">B15*(1+$B$5)</f>
        <v>60741.816000000006</v>
      </c>
      <c r="C16">
        <f t="shared" si="0"/>
        <v>8503.8542400000024</v>
      </c>
      <c r="D16">
        <f t="shared" si="1"/>
        <v>6718.0448496000026</v>
      </c>
      <c r="E16">
        <f t="shared" si="2"/>
        <v>0.77218348006106419</v>
      </c>
      <c r="F16">
        <f t="shared" si="3"/>
        <v>5187.5632511704389</v>
      </c>
    </row>
    <row r="17" spans="1:7" x14ac:dyDescent="0.3">
      <c r="A17" s="1">
        <v>4</v>
      </c>
      <c r="B17">
        <f t="shared" si="4"/>
        <v>64386.324960000013</v>
      </c>
      <c r="C17">
        <f t="shared" si="0"/>
        <v>9014.0854944000021</v>
      </c>
      <c r="D17">
        <f t="shared" si="1"/>
        <v>7121.1275405760016</v>
      </c>
      <c r="E17">
        <f t="shared" si="2"/>
        <v>0.7084252110651964</v>
      </c>
      <c r="F17">
        <f t="shared" si="3"/>
        <v>5044.7862809547369</v>
      </c>
    </row>
    <row r="18" spans="1:7" x14ac:dyDescent="0.3">
      <c r="A18" s="1">
        <v>5</v>
      </c>
      <c r="B18">
        <f t="shared" si="4"/>
        <v>68249.504457600022</v>
      </c>
      <c r="C18">
        <f t="shared" si="0"/>
        <v>9554.9306240640035</v>
      </c>
      <c r="D18">
        <f t="shared" si="1"/>
        <v>7548.3951930105632</v>
      </c>
      <c r="E18">
        <f t="shared" si="2"/>
        <v>0.64993138629834524</v>
      </c>
      <c r="F18">
        <f t="shared" si="3"/>
        <v>4905.9389521211206</v>
      </c>
    </row>
    <row r="20" spans="1:7" x14ac:dyDescent="0.3">
      <c r="D20" s="2" t="s">
        <v>15</v>
      </c>
      <c r="E20">
        <f>D18*(1+$B$9)/($B$8 - $B$9)</f>
        <v>119032.38573593579</v>
      </c>
      <c r="F20">
        <f>E20*E18</f>
        <v>77362.883475756127</v>
      </c>
    </row>
    <row r="22" spans="1:7" x14ac:dyDescent="0.3">
      <c r="F22" s="2" t="s">
        <v>16</v>
      </c>
      <c r="G22">
        <f>SUM(F14:F18)+F20</f>
        <v>103320.90716747654</v>
      </c>
    </row>
    <row r="24" spans="1:7" x14ac:dyDescent="0.3">
      <c r="F24" s="2" t="s">
        <v>17</v>
      </c>
      <c r="G24">
        <f>G22/$B$10</f>
        <v>68.880604778317689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GUTALA</dc:creator>
  <cp:lastModifiedBy>RESHMA GUTALA</cp:lastModifiedBy>
  <dcterms:created xsi:type="dcterms:W3CDTF">2026-02-24T09:40:08Z</dcterms:created>
  <dcterms:modified xsi:type="dcterms:W3CDTF">2026-02-27T12:48:08Z</dcterms:modified>
</cp:coreProperties>
</file>